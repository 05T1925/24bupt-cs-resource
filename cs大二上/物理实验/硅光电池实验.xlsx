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8641\Desktop\"/>
    </mc:Choice>
  </mc:AlternateContent>
  <xr:revisionPtr revIDLastSave="0" documentId="13_ncr:1_{1C3827EB-3144-4524-93CA-FE91DA99A33D}" xr6:coauthVersionLast="47" xr6:coauthVersionMax="47" xr10:uidLastSave="{00000000-0000-0000-0000-000000000000}"/>
  <bookViews>
    <workbookView xWindow="7920" yWindow="1970" windowWidth="12470" windowHeight="14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J74" i="1"/>
  <c r="I74" i="1"/>
  <c r="H74" i="1"/>
  <c r="G74" i="1"/>
  <c r="F74" i="1"/>
  <c r="E74" i="1"/>
  <c r="D74" i="1"/>
  <c r="D53" i="1"/>
  <c r="K53" i="1"/>
  <c r="J53" i="1"/>
  <c r="I53" i="1"/>
  <c r="H53" i="1"/>
  <c r="G53" i="1"/>
  <c r="F53" i="1"/>
  <c r="E53" i="1"/>
</calcChain>
</file>

<file path=xl/sharedStrings.xml><?xml version="1.0" encoding="utf-8"?>
<sst xmlns="http://schemas.openxmlformats.org/spreadsheetml/2006/main" count="28" uniqueCount="14">
  <si>
    <t>电压U(V)</t>
    <phoneticPr fontId="1" type="noConversion"/>
  </si>
  <si>
    <t>电流I(mA)</t>
    <phoneticPr fontId="1" type="noConversion"/>
  </si>
  <si>
    <t>距离L(cm)</t>
    <phoneticPr fontId="1" type="noConversion"/>
  </si>
  <si>
    <t>单晶硅</t>
    <phoneticPr fontId="1" type="noConversion"/>
  </si>
  <si>
    <t>非晶硅</t>
    <phoneticPr fontId="1" type="noConversion"/>
  </si>
  <si>
    <t>输出电流I(mA)</t>
    <phoneticPr fontId="1" type="noConversion"/>
  </si>
  <si>
    <t>单晶硅：     （P=I²R）</t>
    <phoneticPr fontId="1" type="noConversion"/>
  </si>
  <si>
    <t>非晶硅：     （P=I²R）</t>
    <phoneticPr fontId="1" type="noConversion"/>
  </si>
  <si>
    <t>负载电阻R(Ω)</t>
    <phoneticPr fontId="1" type="noConversion"/>
  </si>
  <si>
    <t>输出功率I²R(W)</t>
    <phoneticPr fontId="1" type="noConversion"/>
  </si>
  <si>
    <r>
      <t>光强I</t>
    </r>
    <r>
      <rPr>
        <vertAlign val="subscript"/>
        <sz val="11"/>
        <color theme="1"/>
        <rFont val="等线"/>
        <family val="3"/>
        <charset val="134"/>
        <scheme val="minor"/>
      </rPr>
      <t>in</t>
    </r>
    <r>
      <rPr>
        <sz val="11"/>
        <color theme="1"/>
        <rFont val="等线"/>
        <family val="2"/>
        <scheme val="minor"/>
      </rPr>
      <t>(W/m²)</t>
    </r>
    <phoneticPr fontId="1" type="noConversion"/>
  </si>
  <si>
    <r>
      <t>开路电压U</t>
    </r>
    <r>
      <rPr>
        <vertAlign val="subscript"/>
        <sz val="11"/>
        <color theme="1"/>
        <rFont val="等线"/>
        <family val="3"/>
        <charset val="134"/>
        <scheme val="minor"/>
      </rPr>
      <t>oc</t>
    </r>
    <r>
      <rPr>
        <sz val="11"/>
        <color theme="1"/>
        <rFont val="等线"/>
        <family val="2"/>
        <scheme val="minor"/>
      </rPr>
      <t>(V)</t>
    </r>
    <phoneticPr fontId="1" type="noConversion"/>
  </si>
  <si>
    <r>
      <t>短路电流I</t>
    </r>
    <r>
      <rPr>
        <vertAlign val="subscript"/>
        <sz val="11"/>
        <color theme="1"/>
        <rFont val="等线"/>
        <family val="3"/>
        <charset val="134"/>
        <scheme val="minor"/>
      </rPr>
      <t>sc</t>
    </r>
    <r>
      <rPr>
        <sz val="11"/>
        <color theme="1"/>
        <rFont val="等线"/>
        <family val="2"/>
        <scheme val="minor"/>
      </rPr>
      <t>(mA)</t>
    </r>
    <phoneticPr fontId="1" type="noConversion"/>
  </si>
  <si>
    <r>
      <t>光强In(I</t>
    </r>
    <r>
      <rPr>
        <vertAlign val="subscript"/>
        <sz val="11"/>
        <color theme="1"/>
        <rFont val="等线"/>
        <family val="3"/>
        <charset val="134"/>
        <scheme val="minor"/>
      </rPr>
      <t>in</t>
    </r>
    <r>
      <rPr>
        <sz val="11"/>
        <color theme="1"/>
        <rFont val="等线"/>
        <family val="2"/>
        <scheme val="minor"/>
      </rPr>
      <t>)(W/m²)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</si>
</sst>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2" fontId="0" fillId="0" borderId="0" xfId="0" applyNumberFormat="1"/>
    <xf numFmtId="177" fontId="0" fillId="0" borderId="0" xfId="0" applyNumberFormat="1"/>
    <xf numFmtId="2" fontId="0" fillId="0" borderId="2" xfId="0" applyNumberFormat="1" applyBorder="1"/>
    <xf numFmtId="177" fontId="0" fillId="0" borderId="2" xfId="0" applyNumberFormat="1" applyBorder="1"/>
    <xf numFmtId="176" fontId="0" fillId="0" borderId="2" xfId="0" applyNumberFormat="1" applyBorder="1"/>
    <xf numFmtId="0" fontId="0" fillId="0" borderId="0" xfId="0" applyAlignment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8" fontId="0" fillId="0" borderId="2" xfId="0" applyNumberFormat="1" applyBorder="1"/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单晶硅太阳能电池的暗伏安特性曲线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正向电压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4660535670418595"/>
          <c:y val="5.0513250055774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57671296627923"/>
          <c:y val="0.18016850525977804"/>
          <c:w val="0.8044232118867557"/>
          <c:h val="0.624956655147813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电流I(mA)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Sheet1!$B$1:$Q$1</c:f>
              <c:numCache>
                <c:formatCode>0.00</c:formatCode>
                <c:ptCount val="16"/>
                <c:pt idx="0">
                  <c:v>0</c:v>
                </c:pt>
                <c:pt idx="1">
                  <c:v>1.86</c:v>
                </c:pt>
                <c:pt idx="2">
                  <c:v>2.1</c:v>
                </c:pt>
                <c:pt idx="3">
                  <c:v>2.4500000000000002</c:v>
                </c:pt>
                <c:pt idx="4">
                  <c:v>2.5499999999999998</c:v>
                </c:pt>
                <c:pt idx="5">
                  <c:v>2.62</c:v>
                </c:pt>
                <c:pt idx="6">
                  <c:v>2.75</c:v>
                </c:pt>
                <c:pt idx="7">
                  <c:v>2.82</c:v>
                </c:pt>
                <c:pt idx="8">
                  <c:v>2.87</c:v>
                </c:pt>
                <c:pt idx="9">
                  <c:v>2.91</c:v>
                </c:pt>
                <c:pt idx="10">
                  <c:v>2.95</c:v>
                </c:pt>
                <c:pt idx="11">
                  <c:v>2.98</c:v>
                </c:pt>
                <c:pt idx="12">
                  <c:v>3</c:v>
                </c:pt>
                <c:pt idx="13">
                  <c:v>3.02</c:v>
                </c:pt>
                <c:pt idx="14">
                  <c:v>3.04</c:v>
                </c:pt>
                <c:pt idx="15">
                  <c:v>3.05</c:v>
                </c:pt>
              </c:numCache>
            </c:numRef>
          </c:xVal>
          <c:yVal>
            <c:numRef>
              <c:f>Sheet1!$B$2:$Q$2</c:f>
              <c:numCache>
                <c:formatCode>0.0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102.4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30-4766-930D-3F884E5DD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255935"/>
        <c:axId val="646255455"/>
      </c:scatterChart>
      <c:valAx>
        <c:axId val="64625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255455"/>
        <c:crosses val="autoZero"/>
        <c:crossBetween val="midCat"/>
      </c:valAx>
      <c:valAx>
        <c:axId val="6462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25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单晶硅太阳能电池的暗伏安特性曲线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反向电压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4660535670418595"/>
          <c:y val="4.9658116133875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328442335251268E-2"/>
          <c:y val="0.16340968194634223"/>
          <c:w val="0.85727042492312822"/>
          <c:h val="0.723259619882583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电流I(mA)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Sheet1!$B$3:$Q$3</c:f>
              <c:numCache>
                <c:formatCode>0.00</c:formatCode>
                <c:ptCount val="16"/>
                <c:pt idx="0">
                  <c:v>0</c:v>
                </c:pt>
                <c:pt idx="1">
                  <c:v>-0.1</c:v>
                </c:pt>
                <c:pt idx="2">
                  <c:v>-2.0299999999999998</c:v>
                </c:pt>
                <c:pt idx="3">
                  <c:v>-4</c:v>
                </c:pt>
                <c:pt idx="4">
                  <c:v>-6</c:v>
                </c:pt>
                <c:pt idx="5">
                  <c:v>-8</c:v>
                </c:pt>
              </c:numCache>
            </c:numRef>
          </c:xVal>
          <c:yVal>
            <c:numRef>
              <c:f>Sheet1!$B$4:$Q$4</c:f>
              <c:numCache>
                <c:formatCode>0.000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-2.9000000000000001E-2</c:v>
                </c:pt>
                <c:pt idx="3">
                  <c:v>-5.6000000000000001E-2</c:v>
                </c:pt>
                <c:pt idx="4">
                  <c:v>-8.3000000000000004E-2</c:v>
                </c:pt>
                <c:pt idx="5">
                  <c:v>-0.109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21-447E-802E-8D77617A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817967"/>
        <c:axId val="705817487"/>
      </c:scatterChart>
      <c:valAx>
        <c:axId val="70581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电压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U(V)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817487"/>
        <c:crosses val="autoZero"/>
        <c:crossBetween val="midCat"/>
      </c:valAx>
      <c:valAx>
        <c:axId val="70581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81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非晶硅太阳能电池的暗伏安特性曲线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zh-CN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正向电压</a:t>
            </a:r>
            <a:r>
              <a:rPr lang="en-US" altLang="zh-C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4660535670418595"/>
          <c:y val="5.0749711649365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06128169081549"/>
          <c:y val="0.20354200211092593"/>
          <c:w val="0.82267096044413179"/>
          <c:h val="0.615321181738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Sheet1!$A$25</c:f>
              <c:strCache>
                <c:ptCount val="1"/>
                <c:pt idx="0">
                  <c:v>电流I(mA)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Sheet1!$B$24:$Q$24</c:f>
              <c:numCache>
                <c:formatCode>0.00</c:formatCode>
                <c:ptCount val="16"/>
                <c:pt idx="0">
                  <c:v>0</c:v>
                </c:pt>
                <c:pt idx="1">
                  <c:v>1.94</c:v>
                </c:pt>
                <c:pt idx="2">
                  <c:v>2.46</c:v>
                </c:pt>
                <c:pt idx="3">
                  <c:v>3.13</c:v>
                </c:pt>
                <c:pt idx="4">
                  <c:v>3.28</c:v>
                </c:pt>
                <c:pt idx="5">
                  <c:v>3.37</c:v>
                </c:pt>
                <c:pt idx="6">
                  <c:v>3.58</c:v>
                </c:pt>
                <c:pt idx="7">
                  <c:v>3.73</c:v>
                </c:pt>
                <c:pt idx="8">
                  <c:v>3.85</c:v>
                </c:pt>
                <c:pt idx="9">
                  <c:v>3.95</c:v>
                </c:pt>
                <c:pt idx="10">
                  <c:v>4.04</c:v>
                </c:pt>
                <c:pt idx="11">
                  <c:v>4.12</c:v>
                </c:pt>
              </c:numCache>
            </c:numRef>
          </c:xVal>
          <c:yVal>
            <c:numRef>
              <c:f>Sheet1!$B$25:$Q$25</c:f>
              <c:numCache>
                <c:formatCode>0.0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13-4998-A5C8-0B060822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950975"/>
        <c:axId val="641952415"/>
      </c:scatterChart>
      <c:valAx>
        <c:axId val="64195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952415"/>
        <c:crosses val="autoZero"/>
        <c:crossBetween val="midCat"/>
      </c:valAx>
      <c:valAx>
        <c:axId val="6419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95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非晶硅太阳能电池的暗伏安特性曲线</a:t>
            </a:r>
            <a:r>
              <a:rPr lang="en-US" altLang="zh-CN" sz="1200"/>
              <a:t>(</a:t>
            </a:r>
            <a:r>
              <a:rPr lang="zh-CN" altLang="en-US" sz="1200"/>
              <a:t>反向电压</a:t>
            </a:r>
            <a:r>
              <a:rPr lang="en-US" altLang="zh-CN" sz="1200"/>
              <a:t>)</a:t>
            </a:r>
          </a:p>
        </c:rich>
      </c:tx>
      <c:layout>
        <c:manualLayout>
          <c:xMode val="edge"/>
          <c:yMode val="edge"/>
          <c:x val="0.13820844269466317"/>
          <c:y val="4.9327354260089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534776902887129E-2"/>
          <c:y val="0.18502348080929348"/>
          <c:w val="0.86297922134733163"/>
          <c:h val="0.696786130433247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Sheet1!$A$27</c:f>
              <c:strCache>
                <c:ptCount val="1"/>
                <c:pt idx="0">
                  <c:v>电流I(mA)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Sheet1!$B$26:$Q$26</c:f>
              <c:numCache>
                <c:formatCode>0.00</c:formatCode>
                <c:ptCount val="16"/>
                <c:pt idx="0">
                  <c:v>0</c:v>
                </c:pt>
                <c:pt idx="1">
                  <c:v>-0.06</c:v>
                </c:pt>
                <c:pt idx="2">
                  <c:v>-0.53</c:v>
                </c:pt>
                <c:pt idx="3">
                  <c:v>-2.09</c:v>
                </c:pt>
                <c:pt idx="4">
                  <c:v>-3.77</c:v>
                </c:pt>
                <c:pt idx="5">
                  <c:v>-6.5</c:v>
                </c:pt>
                <c:pt idx="6">
                  <c:v>-8</c:v>
                </c:pt>
              </c:numCache>
            </c:numRef>
          </c:xVal>
          <c:yVal>
            <c:numRef>
              <c:f>Sheet1!$B$27:$Q$27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-2.9000000000000001E-2</c:v>
                </c:pt>
                <c:pt idx="3">
                  <c:v>-0.4</c:v>
                </c:pt>
                <c:pt idx="4">
                  <c:v>-0.9</c:v>
                </c:pt>
                <c:pt idx="5">
                  <c:v>-1.8</c:v>
                </c:pt>
                <c:pt idx="6">
                  <c:v>-2.9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6F-477F-A7C2-64973D48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830767"/>
        <c:axId val="650830287"/>
      </c:scatterChart>
      <c:valAx>
        <c:axId val="65083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电压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U(V)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830287"/>
        <c:crosses val="autoZero"/>
        <c:crossBetween val="midCat"/>
      </c:valAx>
      <c:valAx>
        <c:axId val="65083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83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Uoc-In(Iin)</a:t>
            </a:r>
            <a:r>
              <a:rPr lang="zh-CN" altLang="en-US"/>
              <a:t>曲线（单晶硅）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655314960629921"/>
          <c:y val="0.18039370078740158"/>
          <c:w val="0.81889129483814516"/>
          <c:h val="0.60780876348789736"/>
        </c:manualLayout>
      </c:layout>
      <c:scatterChart>
        <c:scatterStyle val="smoothMarker"/>
        <c:varyColors val="0"/>
        <c:ser>
          <c:idx val="1"/>
          <c:order val="1"/>
          <c:tx>
            <c:strRef>
              <c:f>Sheet1!$B$54</c:f>
              <c:strCache>
                <c:ptCount val="1"/>
                <c:pt idx="0">
                  <c:v>开路电压Uoc(V)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Sheet1!$C$54:$K$54</c:f>
              <c:numCache>
                <c:formatCode>0.00</c:formatCode>
                <c:ptCount val="9"/>
                <c:pt idx="1">
                  <c:v>2.89</c:v>
                </c:pt>
                <c:pt idx="2">
                  <c:v>2.8</c:v>
                </c:pt>
                <c:pt idx="3">
                  <c:v>2.73</c:v>
                </c:pt>
                <c:pt idx="4">
                  <c:v>2.67</c:v>
                </c:pt>
                <c:pt idx="5">
                  <c:v>2.61</c:v>
                </c:pt>
                <c:pt idx="6">
                  <c:v>2.57</c:v>
                </c:pt>
                <c:pt idx="7">
                  <c:v>2.5299999999999998</c:v>
                </c:pt>
                <c:pt idx="8">
                  <c:v>2.4900000000000002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F1-4978-B980-981895639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044623"/>
        <c:axId val="7250427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Sheet1!$A$53</c15:sqref>
                        </c15:formulaRef>
                      </c:ext>
                    </c:extLst>
                    <c:strCache>
                      <c:ptCount val="1"/>
                      <c:pt idx="0">
                        <c:v>光强In(Iin)(W/m²)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Sheet1!$B$53:$K$53</c15:sqref>
                        </c15:formulaRef>
                      </c:ext>
                    </c:extLst>
                    <c:numCache>
                      <c:formatCode>@</c:formatCode>
                      <c:ptCount val="10"/>
                      <c:pt idx="2" formatCode="0.00">
                        <c:v>6.7707894239089796</c:v>
                      </c:pt>
                      <c:pt idx="3" formatCode="0.00">
                        <c:v>6.1903154058531475</c:v>
                      </c:pt>
                      <c:pt idx="4" formatCode="0.00">
                        <c:v>5.7071102647488754</c:v>
                      </c:pt>
                      <c:pt idx="5" formatCode="0.00">
                        <c:v>5.3230099791384085</c:v>
                      </c:pt>
                      <c:pt idx="6" formatCode="0.00">
                        <c:v>5.0039463059454592</c:v>
                      </c:pt>
                      <c:pt idx="7" formatCode="0.00">
                        <c:v>4.7449321283632502</c:v>
                      </c:pt>
                      <c:pt idx="8" formatCode="0.00">
                        <c:v>4.5108595065168497</c:v>
                      </c:pt>
                      <c:pt idx="9" formatCode="0.00">
                        <c:v>4.3174881135363101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7F1-4978-B980-9818956394B7}"/>
                  </c:ext>
                </c:extLst>
              </c15:ser>
            </c15:filteredScatterSeries>
          </c:ext>
        </c:extLst>
      </c:scatterChart>
      <c:valAx>
        <c:axId val="7250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光强</a:t>
                </a:r>
                <a:r>
                  <a:rPr lang="en-US" altLang="zh-CN"/>
                  <a:t>In(Iin)(W/m²)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5042703"/>
        <c:crosses val="autoZero"/>
        <c:crossBetween val="midCat"/>
      </c:valAx>
      <c:valAx>
        <c:axId val="7250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开路电压</a:t>
                </a:r>
                <a:r>
                  <a:rPr lang="en-US" altLang="zh-CN"/>
                  <a:t>Uoc(V)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504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Isc-Iin</a:t>
            </a:r>
            <a:r>
              <a:rPr lang="zh-CN" altLang="en-US"/>
              <a:t>曲线（单晶硅）</a:t>
            </a:r>
            <a:endParaRPr lang="en-US" altLang="zh-CN"/>
          </a:p>
        </c:rich>
      </c:tx>
      <c:layout>
        <c:manualLayout>
          <c:xMode val="edge"/>
          <c:yMode val="edge"/>
          <c:x val="0.3462567804024496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455314960629921"/>
          <c:y val="0.18039370078740158"/>
          <c:w val="0.79540507436570429"/>
          <c:h val="0.607808763487897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短路电流Isc(mA)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Sheet1!$C$55:$K$55</c:f>
              <c:numCache>
                <c:formatCode>0.0</c:formatCode>
                <c:ptCount val="9"/>
                <c:pt idx="1">
                  <c:v>87.8</c:v>
                </c:pt>
                <c:pt idx="2">
                  <c:v>51.8</c:v>
                </c:pt>
                <c:pt idx="3">
                  <c:v>33</c:v>
                </c:pt>
                <c:pt idx="4">
                  <c:v>22.5</c:v>
                </c:pt>
                <c:pt idx="5">
                  <c:v>16.399999999999999</c:v>
                </c:pt>
                <c:pt idx="6">
                  <c:v>12.6</c:v>
                </c:pt>
                <c:pt idx="7">
                  <c:v>10.1</c:v>
                </c:pt>
                <c:pt idx="8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2-4901-A6F3-2EE39163DBB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79617247"/>
        <c:axId val="8418377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Sheet1!$A$52</c15:sqref>
                        </c15:formulaRef>
                      </c:ext>
                    </c:extLst>
                    <c:strCache>
                      <c:ptCount val="1"/>
                      <c:pt idx="0">
                        <c:v>光强Iin(W/m²)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Sheet1!$B$52:$K$52</c15:sqref>
                        </c15:formulaRef>
                      </c:ext>
                    </c:extLst>
                    <c:numCache>
                      <c:formatCode>@</c:formatCode>
                      <c:ptCount val="10"/>
                      <c:pt idx="2" formatCode="General">
                        <c:v>872</c:v>
                      </c:pt>
                      <c:pt idx="3" formatCode="General">
                        <c:v>488</c:v>
                      </c:pt>
                      <c:pt idx="4" formatCode="General">
                        <c:v>301</c:v>
                      </c:pt>
                      <c:pt idx="5" formatCode="General">
                        <c:v>205</c:v>
                      </c:pt>
                      <c:pt idx="6" formatCode="General">
                        <c:v>149</c:v>
                      </c:pt>
                      <c:pt idx="7" formatCode="General">
                        <c:v>115</c:v>
                      </c:pt>
                      <c:pt idx="8" formatCode="General">
                        <c:v>91</c:v>
                      </c:pt>
                      <c:pt idx="9" formatCode="General">
                        <c:v>75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502-4901-A6F3-2EE39163DBB4}"/>
                  </c:ext>
                </c:extLst>
              </c15:ser>
            </c15:filteredScatterSeries>
          </c:ext>
        </c:extLst>
      </c:scatterChart>
      <c:valAx>
        <c:axId val="8796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光强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Iin(W/m²)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1837791"/>
        <c:crosses val="autoZero"/>
        <c:crossBetween val="midCat"/>
      </c:valAx>
      <c:valAx>
        <c:axId val="8418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短路电流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Isc(mA)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961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Uoc-In(Iin)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曲线（非晶硅）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655314960629921"/>
          <c:y val="0.18039370078740158"/>
          <c:w val="0.79944685039370078"/>
          <c:h val="0.607808763487897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Sheet1!$B$75</c:f>
              <c:strCache>
                <c:ptCount val="1"/>
                <c:pt idx="0">
                  <c:v>开路电压Uoc(V)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Sheet1!$C$75:$K$75</c:f>
              <c:numCache>
                <c:formatCode>0.00</c:formatCode>
                <c:ptCount val="9"/>
                <c:pt idx="1">
                  <c:v>3.11</c:v>
                </c:pt>
                <c:pt idx="2">
                  <c:v>3.01</c:v>
                </c:pt>
                <c:pt idx="3">
                  <c:v>2.92</c:v>
                </c:pt>
                <c:pt idx="4">
                  <c:v>2.83</c:v>
                </c:pt>
                <c:pt idx="5">
                  <c:v>2.74</c:v>
                </c:pt>
                <c:pt idx="6">
                  <c:v>2.64</c:v>
                </c:pt>
                <c:pt idx="7">
                  <c:v>2.5299999999999998</c:v>
                </c:pt>
                <c:pt idx="8">
                  <c:v>2.4300000000000002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BA-4B57-9B26-13AD4B0D60C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07073967"/>
        <c:axId val="70707060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Sheet1!$A$74</c15:sqref>
                        </c15:formulaRef>
                      </c:ext>
                    </c:extLst>
                    <c:strCache>
                      <c:ptCount val="1"/>
                      <c:pt idx="0">
                        <c:v>光强In(Iin)(W/m²)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Sheet1!$B$74:$K$74</c15:sqref>
                        </c15:formulaRef>
                      </c:ext>
                    </c:extLst>
                    <c:numCache>
                      <c:formatCode>@</c:formatCode>
                      <c:ptCount val="10"/>
                      <c:pt idx="2" formatCode="0.00">
                        <c:v>6.7707894239089796</c:v>
                      </c:pt>
                      <c:pt idx="3" formatCode="0.00">
                        <c:v>6.1903154058531475</c:v>
                      </c:pt>
                      <c:pt idx="4" formatCode="0.00">
                        <c:v>5.7071102647488754</c:v>
                      </c:pt>
                      <c:pt idx="5" formatCode="0.00">
                        <c:v>5.3230099791384085</c:v>
                      </c:pt>
                      <c:pt idx="6" formatCode="0.00">
                        <c:v>5.0039463059454592</c:v>
                      </c:pt>
                      <c:pt idx="7" formatCode="0.00">
                        <c:v>4.7449321283632502</c:v>
                      </c:pt>
                      <c:pt idx="8" formatCode="0.00">
                        <c:v>4.5108595065168497</c:v>
                      </c:pt>
                      <c:pt idx="9" formatCode="0.00">
                        <c:v>4.3174881135363101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CBA-4B57-9B26-13AD4B0D60C9}"/>
                  </c:ext>
                </c:extLst>
              </c15:ser>
            </c15:filteredScatterSeries>
          </c:ext>
        </c:extLst>
      </c:scatterChart>
      <c:valAx>
        <c:axId val="70707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光强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In(Iin)(W/m²)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7070607"/>
        <c:crosses val="autoZero"/>
        <c:crossBetween val="midCat"/>
      </c:valAx>
      <c:valAx>
        <c:axId val="7070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开路电压</a:t>
                </a:r>
                <a:r>
                  <a:rPr lang="en-US" altLang="zh-CN"/>
                  <a:t>Uoc(V)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3333333333333333E-2"/>
              <c:y val="0.35466827063283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707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Isc-Iin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曲线（非晶硅）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455314960629921"/>
          <c:y val="0.18039370078740158"/>
          <c:w val="0.73984951881014871"/>
          <c:h val="0.607808763487897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Sheet1!$B$76</c:f>
              <c:strCache>
                <c:ptCount val="1"/>
                <c:pt idx="0">
                  <c:v>短路电流Isc(mA)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Sheet1!$C$76:$K$76</c:f>
              <c:numCache>
                <c:formatCode>0.0</c:formatCode>
                <c:ptCount val="9"/>
                <c:pt idx="1">
                  <c:v>12.2</c:v>
                </c:pt>
                <c:pt idx="2">
                  <c:v>6.7</c:v>
                </c:pt>
                <c:pt idx="3">
                  <c:v>4.2</c:v>
                </c:pt>
                <c:pt idx="4">
                  <c:v>2.9</c:v>
                </c:pt>
                <c:pt idx="5">
                  <c:v>2.1</c:v>
                </c:pt>
                <c:pt idx="6">
                  <c:v>1.6</c:v>
                </c:pt>
                <c:pt idx="7">
                  <c:v>1.3</c:v>
                </c:pt>
                <c:pt idx="8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9-43F2-9CC2-984DB0704C0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40161871"/>
        <c:axId val="8401613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Sheet1!$A$73</c15:sqref>
                        </c15:formulaRef>
                      </c:ext>
                    </c:extLst>
                    <c:strCache>
                      <c:ptCount val="1"/>
                      <c:pt idx="0">
                        <c:v>光强Iin(W/m²)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Sheet1!$B$73:$K$73</c15:sqref>
                        </c15:formulaRef>
                      </c:ext>
                    </c:extLst>
                    <c:numCache>
                      <c:formatCode>@</c:formatCode>
                      <c:ptCount val="10"/>
                      <c:pt idx="2" formatCode="General">
                        <c:v>872</c:v>
                      </c:pt>
                      <c:pt idx="3" formatCode="General">
                        <c:v>488</c:v>
                      </c:pt>
                      <c:pt idx="4" formatCode="General">
                        <c:v>301</c:v>
                      </c:pt>
                      <c:pt idx="5" formatCode="General">
                        <c:v>205</c:v>
                      </c:pt>
                      <c:pt idx="6" formatCode="General">
                        <c:v>149</c:v>
                      </c:pt>
                      <c:pt idx="7" formatCode="General">
                        <c:v>115</c:v>
                      </c:pt>
                      <c:pt idx="8" formatCode="General">
                        <c:v>91</c:v>
                      </c:pt>
                      <c:pt idx="9" formatCode="General">
                        <c:v>75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C9-43F2-9CC2-984DB0704C0E}"/>
                  </c:ext>
                </c:extLst>
              </c15:ser>
            </c15:filteredScatterSeries>
          </c:ext>
        </c:extLst>
      </c:scatterChart>
      <c:valAx>
        <c:axId val="84016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光强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Iin(W/m²)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161391"/>
        <c:crosses val="autoZero"/>
        <c:crossBetween val="midCat"/>
      </c:valAx>
      <c:valAx>
        <c:axId val="8401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短路电流</a:t>
                </a:r>
                <a:r>
                  <a:rPr lang="en-US" altLang="zh-CN"/>
                  <a:t>Isc(mA)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16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I²R-R</a:t>
            </a:r>
            <a:r>
              <a:rPr lang="zh-CN" altLang="en-US"/>
              <a:t>曲线（单晶硅）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Sheet1!$C$91:$T$91</c:f>
              <c:numCache>
                <c:formatCode>General</c:formatCode>
                <c:ptCount val="18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140</c:v>
                </c:pt>
                <c:pt idx="7">
                  <c:v>190</c:v>
                </c:pt>
                <c:pt idx="8">
                  <c:v>240</c:v>
                </c:pt>
                <c:pt idx="9">
                  <c:v>290</c:v>
                </c:pt>
                <c:pt idx="10">
                  <c:v>340</c:v>
                </c:pt>
                <c:pt idx="11">
                  <c:v>390</c:v>
                </c:pt>
                <c:pt idx="12">
                  <c:v>440</c:v>
                </c:pt>
                <c:pt idx="13">
                  <c:v>490</c:v>
                </c:pt>
                <c:pt idx="14">
                  <c:v>590</c:v>
                </c:pt>
                <c:pt idx="15">
                  <c:v>690</c:v>
                </c:pt>
                <c:pt idx="16">
                  <c:v>790</c:v>
                </c:pt>
                <c:pt idx="17">
                  <c:v>890</c:v>
                </c:pt>
              </c:numCache>
            </c:numRef>
          </c:xVal>
          <c:yVal>
            <c:numRef>
              <c:f>Sheet1!$C$93:$T$93</c:f>
              <c:numCache>
                <c:formatCode>0.000</c:formatCode>
                <c:ptCount val="18"/>
                <c:pt idx="0">
                  <c:v>0</c:v>
                </c:pt>
                <c:pt idx="1">
                  <c:v>8.2000000000000003E-2</c:v>
                </c:pt>
                <c:pt idx="2">
                  <c:v>0.17100000000000001</c:v>
                </c:pt>
                <c:pt idx="3">
                  <c:v>0.123</c:v>
                </c:pt>
                <c:pt idx="4">
                  <c:v>9.2999999999999999E-2</c:v>
                </c:pt>
                <c:pt idx="5">
                  <c:v>7.4999999999999997E-2</c:v>
                </c:pt>
                <c:pt idx="6">
                  <c:v>5.0999999999999997E-2</c:v>
                </c:pt>
                <c:pt idx="7">
                  <c:v>3.7999999999999999E-2</c:v>
                </c:pt>
                <c:pt idx="8">
                  <c:v>3.1E-2</c:v>
                </c:pt>
                <c:pt idx="9">
                  <c:v>2.5999999999999999E-2</c:v>
                </c:pt>
                <c:pt idx="10">
                  <c:v>2.1999999999999999E-2</c:v>
                </c:pt>
                <c:pt idx="11">
                  <c:v>0.02</c:v>
                </c:pt>
                <c:pt idx="12">
                  <c:v>1.7000000000000001E-2</c:v>
                </c:pt>
                <c:pt idx="13">
                  <c:v>1.6E-2</c:v>
                </c:pt>
                <c:pt idx="14">
                  <c:v>1.4E-2</c:v>
                </c:pt>
                <c:pt idx="15">
                  <c:v>1.2E-2</c:v>
                </c:pt>
                <c:pt idx="16">
                  <c:v>0.01</c:v>
                </c:pt>
                <c:pt idx="17">
                  <c:v>8.9999999999999993E-3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7F-4C23-A9F1-8624DC56B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602399"/>
        <c:axId val="758604319"/>
      </c:scatterChart>
      <c:valAx>
        <c:axId val="75860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负载电阻</a:t>
                </a:r>
                <a:r>
                  <a:rPr lang="en-US" altLang="zh-CN"/>
                  <a:t>R(</a:t>
                </a:r>
                <a:r>
                  <a:rPr lang="el-GR" altLang="zh-CN"/>
                  <a:t>Ω)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8604319"/>
        <c:crosses val="autoZero"/>
        <c:crossBetween val="midCat"/>
      </c:valAx>
      <c:valAx>
        <c:axId val="7586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输出功率</a:t>
                </a:r>
                <a:r>
                  <a:rPr lang="en-US" altLang="zh-CN"/>
                  <a:t>I²R(W)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860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I²R-R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曲线（非晶硅）</a:t>
            </a:r>
          </a:p>
        </c:rich>
      </c:tx>
      <c:layout>
        <c:manualLayout>
          <c:xMode val="edge"/>
          <c:yMode val="edge"/>
          <c:x val="0.43148217440109993"/>
          <c:y val="2.6415094339622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319786963593372"/>
          <c:y val="0.16392126309764202"/>
          <c:w val="0.83561928322695178"/>
          <c:h val="0.7010741538301407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Sheet1!$C$97:$T$97</c:f>
              <c:numCache>
                <c:formatCode>General</c:formatCode>
                <c:ptCount val="18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80</c:v>
                </c:pt>
                <c:pt idx="4">
                  <c:v>130</c:v>
                </c:pt>
                <c:pt idx="5">
                  <c:v>180</c:v>
                </c:pt>
                <c:pt idx="6">
                  <c:v>220</c:v>
                </c:pt>
                <c:pt idx="7">
                  <c:v>240</c:v>
                </c:pt>
                <c:pt idx="8">
                  <c:v>260</c:v>
                </c:pt>
                <c:pt idx="9">
                  <c:v>280</c:v>
                </c:pt>
                <c:pt idx="10">
                  <c:v>300</c:v>
                </c:pt>
                <c:pt idx="11">
                  <c:v>330</c:v>
                </c:pt>
                <c:pt idx="12">
                  <c:v>350</c:v>
                </c:pt>
                <c:pt idx="13">
                  <c:v>370</c:v>
                </c:pt>
                <c:pt idx="14">
                  <c:v>420</c:v>
                </c:pt>
                <c:pt idx="15">
                  <c:v>470</c:v>
                </c:pt>
                <c:pt idx="16">
                  <c:v>570</c:v>
                </c:pt>
                <c:pt idx="17">
                  <c:v>670</c:v>
                </c:pt>
              </c:numCache>
            </c:numRef>
          </c:xVal>
          <c:yVal>
            <c:numRef>
              <c:f>Sheet1!$C$99:$T$99</c:f>
              <c:numCache>
                <c:formatCode>0.0000</c:formatCode>
                <c:ptCount val="18"/>
                <c:pt idx="0">
                  <c:v>0</c:v>
                </c:pt>
                <c:pt idx="1">
                  <c:v>1.4E-3</c:v>
                </c:pt>
                <c:pt idx="2">
                  <c:v>4.1999999999999997E-3</c:v>
                </c:pt>
                <c:pt idx="3">
                  <c:v>1.0999999999999999E-2</c:v>
                </c:pt>
                <c:pt idx="4">
                  <c:v>1.6899999999999998E-2</c:v>
                </c:pt>
                <c:pt idx="5">
                  <c:v>2.2599999999999999E-2</c:v>
                </c:pt>
                <c:pt idx="6">
                  <c:v>2.2700000000000001E-2</c:v>
                </c:pt>
                <c:pt idx="7">
                  <c:v>2.3E-2</c:v>
                </c:pt>
                <c:pt idx="8">
                  <c:v>2.35E-2</c:v>
                </c:pt>
                <c:pt idx="9">
                  <c:v>1.9300000000000001E-2</c:v>
                </c:pt>
                <c:pt idx="10">
                  <c:v>1.6E-2</c:v>
                </c:pt>
                <c:pt idx="11">
                  <c:v>1.3899999999999999E-2</c:v>
                </c:pt>
                <c:pt idx="12">
                  <c:v>1.18E-2</c:v>
                </c:pt>
                <c:pt idx="13">
                  <c:v>1.04E-2</c:v>
                </c:pt>
                <c:pt idx="14">
                  <c:v>8.0999999999999996E-3</c:v>
                </c:pt>
                <c:pt idx="15">
                  <c:v>6.7999999999999996E-3</c:v>
                </c:pt>
                <c:pt idx="16">
                  <c:v>6.6E-3</c:v>
                </c:pt>
                <c:pt idx="17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E-4F6E-88EB-DB61DE699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594719"/>
        <c:axId val="807308767"/>
      </c:scatterChart>
      <c:valAx>
        <c:axId val="8115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负载电阻</a:t>
                </a:r>
                <a:r>
                  <a:rPr lang="en-US" altLang="zh-CN"/>
                  <a:t>R(</a:t>
                </a:r>
                <a:r>
                  <a:rPr lang="el-GR" altLang="zh-CN"/>
                  <a:t>Ω)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308767"/>
        <c:crosses val="autoZero"/>
        <c:crossBetween val="midCat"/>
      </c:valAx>
      <c:valAx>
        <c:axId val="8073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输出功率</a:t>
                </a:r>
                <a:r>
                  <a:rPr lang="en-US" altLang="zh-CN"/>
                  <a:t>I²R(W)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59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6</xdr:row>
      <xdr:rowOff>34925</xdr:rowOff>
    </xdr:from>
    <xdr:to>
      <xdr:col>7</xdr:col>
      <xdr:colOff>209550</xdr:colOff>
      <xdr:row>21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B46020-9A06-C71B-5316-460F80611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6</xdr:row>
      <xdr:rowOff>6350</xdr:rowOff>
    </xdr:from>
    <xdr:to>
      <xdr:col>15</xdr:col>
      <xdr:colOff>25400</xdr:colOff>
      <xdr:row>21</xdr:row>
      <xdr:rowOff>130175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3477075-8B8C-CF40-0B14-5F4D4E82F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300691</xdr:colOff>
      <xdr:row>28</xdr:row>
      <xdr:rowOff>156883</xdr:rowOff>
    </xdr:from>
    <xdr:to>
      <xdr:col>7</xdr:col>
      <xdr:colOff>249891</xdr:colOff>
      <xdr:row>44</xdr:row>
      <xdr:rowOff>40902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61BA809-B66C-93ED-A786-A1C3F077F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67236</xdr:colOff>
      <xdr:row>28</xdr:row>
      <xdr:rowOff>141941</xdr:rowOff>
    </xdr:from>
    <xdr:to>
      <xdr:col>15</xdr:col>
      <xdr:colOff>37354</xdr:colOff>
      <xdr:row>44</xdr:row>
      <xdr:rowOff>105335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4528EB9-795E-2F29-F52B-3DD1596A6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366059</xdr:colOff>
      <xdr:row>56</xdr:row>
      <xdr:rowOff>148665</xdr:rowOff>
    </xdr:from>
    <xdr:to>
      <xdr:col>7</xdr:col>
      <xdr:colOff>336177</xdr:colOff>
      <xdr:row>67</xdr:row>
      <xdr:rowOff>389218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DB120C2C-D9C9-0086-CAAF-47C76CA61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381000</xdr:colOff>
      <xdr:row>56</xdr:row>
      <xdr:rowOff>171076</xdr:rowOff>
    </xdr:from>
    <xdr:to>
      <xdr:col>15</xdr:col>
      <xdr:colOff>351118</xdr:colOff>
      <xdr:row>67</xdr:row>
      <xdr:rowOff>411629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43CF2D8-FDD6-FFA4-7B92-CD4FC34B5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373529</xdr:colOff>
      <xdr:row>78</xdr:row>
      <xdr:rowOff>156136</xdr:rowOff>
    </xdr:from>
    <xdr:to>
      <xdr:col>7</xdr:col>
      <xdr:colOff>343647</xdr:colOff>
      <xdr:row>86</xdr:row>
      <xdr:rowOff>60513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FACF872E-3D6B-F924-593D-63785B402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381000</xdr:colOff>
      <xdr:row>78</xdr:row>
      <xdr:rowOff>133724</xdr:rowOff>
    </xdr:from>
    <xdr:to>
      <xdr:col>15</xdr:col>
      <xdr:colOff>351118</xdr:colOff>
      <xdr:row>86</xdr:row>
      <xdr:rowOff>38101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DF47B291-9199-8D73-93D6-2FE9FD953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134469</xdr:colOff>
      <xdr:row>101</xdr:row>
      <xdr:rowOff>63500</xdr:rowOff>
    </xdr:from>
    <xdr:to>
      <xdr:col>9</xdr:col>
      <xdr:colOff>163285</xdr:colOff>
      <xdr:row>120</xdr:row>
      <xdr:rowOff>75454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41A4C65F-1B22-7978-200E-04ABD9D7D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112058</xdr:colOff>
      <xdr:row>101</xdr:row>
      <xdr:rowOff>63500</xdr:rowOff>
    </xdr:from>
    <xdr:to>
      <xdr:col>18</xdr:col>
      <xdr:colOff>598714</xdr:colOff>
      <xdr:row>120</xdr:row>
      <xdr:rowOff>22412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75786E0A-AEEF-4F80-8D97-4212B864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0.142</cdr:x>
      <cdr:y>0.10852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D9982F5-52F9-8BFA-B09A-CB5B7B2CE0A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646232" cy="29873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topLeftCell="A53" zoomScale="85" zoomScaleNormal="85" workbookViewId="0">
      <selection activeCell="S71" sqref="S71"/>
    </sheetView>
  </sheetViews>
  <sheetFormatPr defaultRowHeight="14" x14ac:dyDescent="0.3"/>
  <sheetData>
    <row r="1" spans="1:23" x14ac:dyDescent="0.3">
      <c r="A1" s="1" t="s">
        <v>0</v>
      </c>
      <c r="B1" s="4">
        <v>0</v>
      </c>
      <c r="C1" s="4">
        <v>1.86</v>
      </c>
      <c r="D1" s="4">
        <v>2.1</v>
      </c>
      <c r="E1" s="4">
        <v>2.4500000000000002</v>
      </c>
      <c r="F1" s="4">
        <v>2.5499999999999998</v>
      </c>
      <c r="G1" s="4">
        <v>2.62</v>
      </c>
      <c r="H1" s="4">
        <v>2.75</v>
      </c>
      <c r="I1" s="4">
        <v>2.82</v>
      </c>
      <c r="J1" s="4">
        <v>2.87</v>
      </c>
      <c r="K1" s="4">
        <v>2.91</v>
      </c>
      <c r="L1" s="4">
        <v>2.95</v>
      </c>
      <c r="M1" s="4">
        <v>2.98</v>
      </c>
      <c r="N1" s="4">
        <v>3</v>
      </c>
      <c r="O1" s="4">
        <v>3.02</v>
      </c>
      <c r="P1" s="4">
        <v>3.04</v>
      </c>
      <c r="Q1" s="4">
        <v>3.05</v>
      </c>
      <c r="R1" s="2"/>
      <c r="S1" s="2"/>
      <c r="T1" s="2"/>
      <c r="U1" s="2"/>
    </row>
    <row r="2" spans="1:23" x14ac:dyDescent="0.3">
      <c r="A2" s="1" t="s">
        <v>1</v>
      </c>
      <c r="B2" s="5">
        <v>0</v>
      </c>
      <c r="C2" s="5">
        <v>0.5</v>
      </c>
      <c r="D2" s="5">
        <v>1</v>
      </c>
      <c r="E2" s="5">
        <v>4</v>
      </c>
      <c r="F2" s="5">
        <v>7</v>
      </c>
      <c r="G2" s="5">
        <v>10</v>
      </c>
      <c r="H2" s="5">
        <v>20</v>
      </c>
      <c r="I2" s="5">
        <v>30</v>
      </c>
      <c r="J2" s="5">
        <v>40</v>
      </c>
      <c r="K2" s="5">
        <v>50</v>
      </c>
      <c r="L2" s="5">
        <v>60</v>
      </c>
      <c r="M2" s="5">
        <v>70</v>
      </c>
      <c r="N2" s="5">
        <v>80</v>
      </c>
      <c r="O2" s="5">
        <v>90</v>
      </c>
      <c r="P2" s="5">
        <v>100</v>
      </c>
      <c r="Q2" s="5">
        <v>102.4</v>
      </c>
      <c r="R2" s="3"/>
      <c r="S2" s="3"/>
      <c r="T2" s="3"/>
      <c r="U2" s="3"/>
      <c r="V2" s="3"/>
      <c r="W2" s="3"/>
    </row>
    <row r="3" spans="1:23" x14ac:dyDescent="0.3">
      <c r="A3" s="1" t="s">
        <v>0</v>
      </c>
      <c r="B3" s="4">
        <v>0</v>
      </c>
      <c r="C3" s="4">
        <v>-0.1</v>
      </c>
      <c r="D3" s="4">
        <v>-2.0299999999999998</v>
      </c>
      <c r="E3" s="4">
        <v>-4</v>
      </c>
      <c r="F3" s="4">
        <v>-6</v>
      </c>
      <c r="G3" s="4">
        <v>-8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x14ac:dyDescent="0.3">
      <c r="A4" s="1" t="s">
        <v>1</v>
      </c>
      <c r="B4" s="6">
        <v>0</v>
      </c>
      <c r="C4" s="6">
        <v>0</v>
      </c>
      <c r="D4" s="6">
        <v>-2.9000000000000001E-2</v>
      </c>
      <c r="E4" s="6">
        <v>-5.6000000000000001E-2</v>
      </c>
      <c r="F4" s="6">
        <v>-8.3000000000000004E-2</v>
      </c>
      <c r="G4" s="6">
        <v>-0.109</v>
      </c>
      <c r="H4" s="6"/>
      <c r="I4" s="6"/>
      <c r="J4" s="6"/>
      <c r="K4" s="6"/>
      <c r="L4" s="6"/>
      <c r="M4" s="6"/>
      <c r="N4" s="6"/>
      <c r="O4" s="6"/>
      <c r="P4" s="6"/>
      <c r="Q4" s="6"/>
    </row>
    <row r="24" spans="1:17" x14ac:dyDescent="0.3">
      <c r="A24" s="1" t="s">
        <v>0</v>
      </c>
      <c r="B24" s="4">
        <v>0</v>
      </c>
      <c r="C24" s="4">
        <v>1.94</v>
      </c>
      <c r="D24" s="4">
        <v>2.46</v>
      </c>
      <c r="E24" s="4">
        <v>3.13</v>
      </c>
      <c r="F24" s="4">
        <v>3.28</v>
      </c>
      <c r="G24" s="4">
        <v>3.37</v>
      </c>
      <c r="H24" s="4">
        <v>3.58</v>
      </c>
      <c r="I24" s="4">
        <v>3.73</v>
      </c>
      <c r="J24" s="4">
        <v>3.85</v>
      </c>
      <c r="K24" s="4">
        <v>3.95</v>
      </c>
      <c r="L24" s="4">
        <v>4.04</v>
      </c>
      <c r="M24" s="4">
        <v>4.12</v>
      </c>
      <c r="N24" s="4"/>
      <c r="O24" s="4"/>
      <c r="P24" s="4"/>
      <c r="Q24" s="4"/>
    </row>
    <row r="25" spans="1:17" x14ac:dyDescent="0.3">
      <c r="A25" s="1" t="s">
        <v>1</v>
      </c>
      <c r="B25" s="5">
        <v>0</v>
      </c>
      <c r="C25" s="5">
        <v>0.5</v>
      </c>
      <c r="D25" s="5">
        <v>1</v>
      </c>
      <c r="E25" s="5">
        <v>4</v>
      </c>
      <c r="F25" s="5">
        <v>7</v>
      </c>
      <c r="G25" s="5">
        <v>10</v>
      </c>
      <c r="H25" s="5">
        <v>20</v>
      </c>
      <c r="I25" s="5">
        <v>30</v>
      </c>
      <c r="J25" s="5">
        <v>40</v>
      </c>
      <c r="K25" s="5">
        <v>50</v>
      </c>
      <c r="L25" s="5">
        <v>60</v>
      </c>
      <c r="M25" s="5">
        <v>70</v>
      </c>
      <c r="N25" s="5"/>
      <c r="O25" s="5"/>
      <c r="P25" s="5"/>
      <c r="Q25" s="5"/>
    </row>
    <row r="26" spans="1:17" x14ac:dyDescent="0.3">
      <c r="A26" s="1" t="s">
        <v>0</v>
      </c>
      <c r="B26" s="4">
        <v>0</v>
      </c>
      <c r="C26" s="4">
        <v>-0.06</v>
      </c>
      <c r="D26" s="4">
        <v>-0.53</v>
      </c>
      <c r="E26" s="4">
        <v>-2.09</v>
      </c>
      <c r="F26" s="4">
        <v>-3.77</v>
      </c>
      <c r="G26" s="4">
        <v>-6.5</v>
      </c>
      <c r="H26" s="4">
        <v>-8</v>
      </c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1" t="s">
        <v>1</v>
      </c>
      <c r="B27" s="5">
        <v>0</v>
      </c>
      <c r="C27" s="5">
        <v>0</v>
      </c>
      <c r="D27" s="5">
        <v>-2.9000000000000001E-2</v>
      </c>
      <c r="E27" s="5">
        <v>-0.4</v>
      </c>
      <c r="F27" s="5">
        <v>-0.9</v>
      </c>
      <c r="G27" s="5">
        <v>-1.8</v>
      </c>
      <c r="H27" s="5">
        <v>-2.9</v>
      </c>
      <c r="I27" s="5"/>
      <c r="J27" s="5"/>
      <c r="K27" s="5"/>
      <c r="L27" s="5"/>
      <c r="M27" s="5"/>
      <c r="N27" s="5"/>
      <c r="O27" s="5"/>
      <c r="P27" s="5"/>
      <c r="Q27" s="5"/>
    </row>
    <row r="46" spans="1:3" ht="2.5" customHeight="1" x14ac:dyDescent="0.3"/>
    <row r="47" spans="1:3" hidden="1" x14ac:dyDescent="0.3">
      <c r="A47" s="7"/>
      <c r="B47" s="7"/>
      <c r="C47" s="7"/>
    </row>
    <row r="48" spans="1:3" hidden="1" x14ac:dyDescent="0.3">
      <c r="A48" s="7"/>
      <c r="B48" s="7"/>
      <c r="C48" s="7"/>
    </row>
    <row r="49" spans="1:11" ht="23.5" customHeight="1" x14ac:dyDescent="0.3">
      <c r="A49" s="7"/>
      <c r="B49" s="7"/>
      <c r="C49" s="7"/>
    </row>
    <row r="50" spans="1:11" ht="14" customHeight="1" x14ac:dyDescent="0.3">
      <c r="A50" s="7"/>
      <c r="B50" s="7"/>
      <c r="C50" s="7"/>
    </row>
    <row r="51" spans="1:11" x14ac:dyDescent="0.3">
      <c r="A51" s="8" t="s">
        <v>2</v>
      </c>
      <c r="B51" s="8"/>
      <c r="C51" s="8"/>
      <c r="D51" s="1">
        <v>15</v>
      </c>
      <c r="E51" s="1">
        <v>20</v>
      </c>
      <c r="F51" s="1">
        <v>25</v>
      </c>
      <c r="G51" s="1">
        <v>30</v>
      </c>
      <c r="H51" s="1">
        <v>35</v>
      </c>
      <c r="I51" s="1">
        <v>40</v>
      </c>
      <c r="J51" s="1">
        <v>45</v>
      </c>
      <c r="K51" s="1">
        <v>50</v>
      </c>
    </row>
    <row r="52" spans="1:11" ht="16" x14ac:dyDescent="0.4">
      <c r="A52" s="12" t="s">
        <v>10</v>
      </c>
      <c r="B52" s="12"/>
      <c r="C52" s="12"/>
      <c r="D52" s="1">
        <v>872</v>
      </c>
      <c r="E52" s="1">
        <v>488</v>
      </c>
      <c r="F52" s="1">
        <v>301</v>
      </c>
      <c r="G52" s="1">
        <v>205</v>
      </c>
      <c r="H52" s="1">
        <v>149</v>
      </c>
      <c r="I52" s="1">
        <v>115</v>
      </c>
      <c r="J52" s="1">
        <v>91</v>
      </c>
      <c r="K52" s="1">
        <v>75</v>
      </c>
    </row>
    <row r="53" spans="1:11" ht="16" x14ac:dyDescent="0.4">
      <c r="A53" s="12" t="s">
        <v>13</v>
      </c>
      <c r="B53" s="12"/>
      <c r="C53" s="12"/>
      <c r="D53" s="4">
        <f>LN(872)</f>
        <v>6.7707894239089796</v>
      </c>
      <c r="E53" s="4">
        <f>LN(488)</f>
        <v>6.1903154058531475</v>
      </c>
      <c r="F53" s="4">
        <f>LN(301)</f>
        <v>5.7071102647488754</v>
      </c>
      <c r="G53" s="4">
        <f>LN(205)</f>
        <v>5.3230099791384085</v>
      </c>
      <c r="H53" s="4">
        <f>LN(149)</f>
        <v>5.0039463059454592</v>
      </c>
      <c r="I53" s="4">
        <f>LN(115)</f>
        <v>4.7449321283632502</v>
      </c>
      <c r="J53" s="4">
        <f>LN(91)</f>
        <v>4.5108595065168497</v>
      </c>
      <c r="K53" s="4">
        <f>LN(75)</f>
        <v>4.3174881135363101</v>
      </c>
    </row>
    <row r="54" spans="1:11" ht="16" x14ac:dyDescent="0.4">
      <c r="A54" s="9" t="s">
        <v>3</v>
      </c>
      <c r="B54" s="12" t="s">
        <v>11</v>
      </c>
      <c r="C54" s="12"/>
      <c r="D54" s="4">
        <v>2.89</v>
      </c>
      <c r="E54" s="4">
        <v>2.8</v>
      </c>
      <c r="F54" s="4">
        <v>2.73</v>
      </c>
      <c r="G54" s="4">
        <v>2.67</v>
      </c>
      <c r="H54" s="4">
        <v>2.61</v>
      </c>
      <c r="I54" s="4">
        <v>2.57</v>
      </c>
      <c r="J54" s="4">
        <v>2.5299999999999998</v>
      </c>
      <c r="K54" s="4">
        <v>2.4900000000000002</v>
      </c>
    </row>
    <row r="55" spans="1:11" ht="16" x14ac:dyDescent="0.4">
      <c r="A55" s="8"/>
      <c r="B55" s="12" t="s">
        <v>12</v>
      </c>
      <c r="C55" s="12"/>
      <c r="D55" s="5">
        <v>87.8</v>
      </c>
      <c r="E55" s="5">
        <v>51.8</v>
      </c>
      <c r="F55" s="5">
        <v>33</v>
      </c>
      <c r="G55" s="5">
        <v>22.5</v>
      </c>
      <c r="H55" s="5">
        <v>16.399999999999999</v>
      </c>
      <c r="I55" s="5">
        <v>12.6</v>
      </c>
      <c r="J55" s="5">
        <v>10.1</v>
      </c>
      <c r="K55" s="5">
        <v>8.3000000000000007</v>
      </c>
    </row>
    <row r="66" spans="1:11" ht="56" customHeight="1" x14ac:dyDescent="0.3"/>
    <row r="68" spans="1:11" ht="48" customHeight="1" x14ac:dyDescent="0.3"/>
    <row r="70" spans="1:11" ht="47" customHeight="1" x14ac:dyDescent="0.3"/>
    <row r="72" spans="1:11" x14ac:dyDescent="0.3">
      <c r="A72" s="8" t="s">
        <v>2</v>
      </c>
      <c r="B72" s="8"/>
      <c r="C72" s="8"/>
      <c r="D72" s="1">
        <v>15</v>
      </c>
      <c r="E72" s="1">
        <v>20</v>
      </c>
      <c r="F72" s="1">
        <v>25</v>
      </c>
      <c r="G72" s="1">
        <v>30</v>
      </c>
      <c r="H72" s="1">
        <v>35</v>
      </c>
      <c r="I72" s="1">
        <v>40</v>
      </c>
      <c r="J72" s="1">
        <v>45</v>
      </c>
      <c r="K72" s="1">
        <v>50</v>
      </c>
    </row>
    <row r="73" spans="1:11" ht="16" x14ac:dyDescent="0.4">
      <c r="A73" s="12" t="s">
        <v>10</v>
      </c>
      <c r="B73" s="12"/>
      <c r="C73" s="12"/>
      <c r="D73" s="1">
        <v>872</v>
      </c>
      <c r="E73" s="1">
        <v>488</v>
      </c>
      <c r="F73" s="1">
        <v>301</v>
      </c>
      <c r="G73" s="1">
        <v>205</v>
      </c>
      <c r="H73" s="1">
        <v>149</v>
      </c>
      <c r="I73" s="1">
        <v>115</v>
      </c>
      <c r="J73" s="1">
        <v>91</v>
      </c>
      <c r="K73" s="1">
        <v>75</v>
      </c>
    </row>
    <row r="74" spans="1:11" ht="16" x14ac:dyDescent="0.4">
      <c r="A74" s="12" t="s">
        <v>13</v>
      </c>
      <c r="B74" s="12"/>
      <c r="C74" s="12"/>
      <c r="D74" s="4">
        <f>LN(872)</f>
        <v>6.7707894239089796</v>
      </c>
      <c r="E74" s="4">
        <f>LN(488)</f>
        <v>6.1903154058531475</v>
      </c>
      <c r="F74" s="4">
        <f>LN(301)</f>
        <v>5.7071102647488754</v>
      </c>
      <c r="G74" s="4">
        <f>LN(205)</f>
        <v>5.3230099791384085</v>
      </c>
      <c r="H74" s="4">
        <f>LN(149)</f>
        <v>5.0039463059454592</v>
      </c>
      <c r="I74" s="4">
        <f>LN(115)</f>
        <v>4.7449321283632502</v>
      </c>
      <c r="J74" s="4">
        <f>LN(91)</f>
        <v>4.5108595065168497</v>
      </c>
      <c r="K74" s="4">
        <f>LN(75)</f>
        <v>4.3174881135363101</v>
      </c>
    </row>
    <row r="75" spans="1:11" ht="16" x14ac:dyDescent="0.4">
      <c r="A75" s="9" t="s">
        <v>4</v>
      </c>
      <c r="B75" s="12" t="s">
        <v>11</v>
      </c>
      <c r="C75" s="12"/>
      <c r="D75" s="4">
        <v>3.11</v>
      </c>
      <c r="E75" s="4">
        <v>3.01</v>
      </c>
      <c r="F75" s="4">
        <v>2.92</v>
      </c>
      <c r="G75" s="4">
        <v>2.83</v>
      </c>
      <c r="H75" s="4">
        <v>2.74</v>
      </c>
      <c r="I75" s="4">
        <v>2.64</v>
      </c>
      <c r="J75" s="4">
        <v>2.5299999999999998</v>
      </c>
      <c r="K75" s="4">
        <v>2.4300000000000002</v>
      </c>
    </row>
    <row r="76" spans="1:11" ht="16" x14ac:dyDescent="0.4">
      <c r="A76" s="8"/>
      <c r="B76" s="12" t="s">
        <v>12</v>
      </c>
      <c r="C76" s="12"/>
      <c r="D76" s="5">
        <v>12.2</v>
      </c>
      <c r="E76" s="5">
        <v>6.7</v>
      </c>
      <c r="F76" s="5">
        <v>4.2</v>
      </c>
      <c r="G76" s="5">
        <v>2.9</v>
      </c>
      <c r="H76" s="5">
        <v>2.1</v>
      </c>
      <c r="I76" s="5">
        <v>1.6</v>
      </c>
      <c r="J76" s="5">
        <v>1.3</v>
      </c>
      <c r="K76" s="5">
        <v>1.1000000000000001</v>
      </c>
    </row>
    <row r="81" spans="1:20" ht="104" customHeight="1" x14ac:dyDescent="0.3"/>
    <row r="86" spans="1:20" ht="34.5" customHeight="1" x14ac:dyDescent="0.3"/>
    <row r="89" spans="1:20" ht="26.5" customHeight="1" x14ac:dyDescent="0.3"/>
    <row r="90" spans="1:20" x14ac:dyDescent="0.3">
      <c r="A90" s="10" t="s">
        <v>6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20" x14ac:dyDescent="0.3">
      <c r="A91" s="8" t="s">
        <v>8</v>
      </c>
      <c r="B91" s="8"/>
      <c r="C91" s="1">
        <v>0</v>
      </c>
      <c r="D91" s="1">
        <v>10</v>
      </c>
      <c r="E91" s="1">
        <v>30</v>
      </c>
      <c r="F91" s="1">
        <v>50</v>
      </c>
      <c r="G91" s="1">
        <v>70</v>
      </c>
      <c r="H91" s="1">
        <v>90</v>
      </c>
      <c r="I91" s="1">
        <v>140</v>
      </c>
      <c r="J91" s="1">
        <v>190</v>
      </c>
      <c r="K91" s="1">
        <v>240</v>
      </c>
      <c r="L91" s="1">
        <v>290</v>
      </c>
      <c r="M91" s="1">
        <v>340</v>
      </c>
      <c r="N91" s="1">
        <v>390</v>
      </c>
      <c r="O91" s="1">
        <v>440</v>
      </c>
      <c r="P91" s="1">
        <v>490</v>
      </c>
      <c r="Q91" s="1">
        <v>590</v>
      </c>
      <c r="R91" s="1">
        <v>690</v>
      </c>
      <c r="S91" s="1">
        <v>790</v>
      </c>
      <c r="T91" s="1">
        <v>890</v>
      </c>
    </row>
    <row r="92" spans="1:20" x14ac:dyDescent="0.3">
      <c r="A92" s="13" t="s">
        <v>5</v>
      </c>
      <c r="B92" s="14"/>
      <c r="C92" s="5">
        <v>91</v>
      </c>
      <c r="D92" s="5">
        <v>90.4</v>
      </c>
      <c r="E92" s="5">
        <v>75.599999999999994</v>
      </c>
      <c r="F92" s="5">
        <v>49.5</v>
      </c>
      <c r="G92" s="5">
        <v>36.5</v>
      </c>
      <c r="H92" s="5">
        <v>28.9</v>
      </c>
      <c r="I92" s="5">
        <v>19</v>
      </c>
      <c r="J92" s="5">
        <v>14.2</v>
      </c>
      <c r="K92" s="5">
        <v>11.3</v>
      </c>
      <c r="L92" s="5">
        <v>9.4</v>
      </c>
      <c r="M92" s="5">
        <v>8.1</v>
      </c>
      <c r="N92" s="5">
        <v>7.1</v>
      </c>
      <c r="O92" s="5">
        <v>6.3</v>
      </c>
      <c r="P92" s="5">
        <v>5.7</v>
      </c>
      <c r="Q92" s="5">
        <v>4.8</v>
      </c>
      <c r="R92" s="5">
        <v>4.0999999999999996</v>
      </c>
      <c r="S92" s="5">
        <v>3.6</v>
      </c>
      <c r="T92" s="5">
        <v>3.2</v>
      </c>
    </row>
    <row r="93" spans="1:20" x14ac:dyDescent="0.3">
      <c r="A93" s="8" t="s">
        <v>9</v>
      </c>
      <c r="B93" s="8"/>
      <c r="C93" s="6">
        <v>0</v>
      </c>
      <c r="D93" s="6">
        <v>8.2000000000000003E-2</v>
      </c>
      <c r="E93" s="6">
        <v>0.17100000000000001</v>
      </c>
      <c r="F93" s="6">
        <v>0.123</v>
      </c>
      <c r="G93" s="6">
        <v>9.2999999999999999E-2</v>
      </c>
      <c r="H93" s="6">
        <v>7.4999999999999997E-2</v>
      </c>
      <c r="I93" s="6">
        <v>5.0999999999999997E-2</v>
      </c>
      <c r="J93" s="6">
        <v>3.7999999999999999E-2</v>
      </c>
      <c r="K93" s="6">
        <v>3.1E-2</v>
      </c>
      <c r="L93" s="6">
        <v>2.5999999999999999E-2</v>
      </c>
      <c r="M93" s="6">
        <v>2.1999999999999999E-2</v>
      </c>
      <c r="N93" s="6">
        <v>0.02</v>
      </c>
      <c r="O93" s="6">
        <v>1.7000000000000001E-2</v>
      </c>
      <c r="P93" s="6">
        <v>1.6E-2</v>
      </c>
      <c r="Q93" s="6">
        <v>1.4E-2</v>
      </c>
      <c r="R93" s="6">
        <v>1.2E-2</v>
      </c>
      <c r="S93" s="6">
        <v>0.01</v>
      </c>
      <c r="T93" s="6">
        <v>8.9999999999999993E-3</v>
      </c>
    </row>
    <row r="96" spans="1:20" x14ac:dyDescent="0.3">
      <c r="A96" s="10" t="s">
        <v>7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20" x14ac:dyDescent="0.3">
      <c r="A97" s="8" t="s">
        <v>8</v>
      </c>
      <c r="B97" s="8"/>
      <c r="C97" s="1">
        <v>0</v>
      </c>
      <c r="D97" s="1">
        <v>10</v>
      </c>
      <c r="E97" s="1">
        <v>30</v>
      </c>
      <c r="F97" s="1">
        <v>80</v>
      </c>
      <c r="G97" s="1">
        <v>130</v>
      </c>
      <c r="H97" s="1">
        <v>180</v>
      </c>
      <c r="I97" s="1">
        <v>220</v>
      </c>
      <c r="J97" s="1">
        <v>240</v>
      </c>
      <c r="K97" s="1">
        <v>260</v>
      </c>
      <c r="L97" s="1">
        <v>280</v>
      </c>
      <c r="M97" s="1">
        <v>300</v>
      </c>
      <c r="N97" s="1">
        <v>330</v>
      </c>
      <c r="O97" s="1">
        <v>350</v>
      </c>
      <c r="P97" s="1">
        <v>370</v>
      </c>
      <c r="Q97" s="1">
        <v>420</v>
      </c>
      <c r="R97" s="1">
        <v>470</v>
      </c>
      <c r="S97" s="1">
        <v>570</v>
      </c>
      <c r="T97" s="1">
        <v>670</v>
      </c>
    </row>
    <row r="98" spans="1:20" x14ac:dyDescent="0.3">
      <c r="A98" s="8" t="s">
        <v>5</v>
      </c>
      <c r="B98" s="8"/>
      <c r="C98" s="5">
        <v>12</v>
      </c>
      <c r="D98" s="5">
        <v>11.9</v>
      </c>
      <c r="E98" s="5">
        <v>11.8</v>
      </c>
      <c r="F98" s="5">
        <v>11.7</v>
      </c>
      <c r="G98" s="5">
        <v>11.4</v>
      </c>
      <c r="H98" s="5">
        <v>11.2</v>
      </c>
      <c r="I98" s="5">
        <v>10.1</v>
      </c>
      <c r="J98" s="5">
        <v>9.8000000000000007</v>
      </c>
      <c r="K98" s="5">
        <v>9.5</v>
      </c>
      <c r="L98" s="5">
        <v>8.3000000000000007</v>
      </c>
      <c r="M98" s="5">
        <v>7.3</v>
      </c>
      <c r="N98" s="5">
        <v>6.5</v>
      </c>
      <c r="O98" s="5">
        <v>5.8</v>
      </c>
      <c r="P98" s="5">
        <v>5.3</v>
      </c>
      <c r="Q98" s="5">
        <v>4.4000000000000004</v>
      </c>
      <c r="R98" s="5">
        <v>3.8</v>
      </c>
      <c r="S98" s="5">
        <v>3.4</v>
      </c>
      <c r="T98" s="5">
        <v>3</v>
      </c>
    </row>
    <row r="99" spans="1:20" x14ac:dyDescent="0.3">
      <c r="A99" s="8" t="s">
        <v>9</v>
      </c>
      <c r="B99" s="8"/>
      <c r="C99" s="11">
        <v>0</v>
      </c>
      <c r="D99" s="11">
        <v>1.4E-3</v>
      </c>
      <c r="E99" s="11">
        <v>4.1999999999999997E-3</v>
      </c>
      <c r="F99" s="11">
        <v>1.0999999999999999E-2</v>
      </c>
      <c r="G99" s="11">
        <v>1.6899999999999998E-2</v>
      </c>
      <c r="H99" s="11">
        <v>2.2599999999999999E-2</v>
      </c>
      <c r="I99" s="11">
        <v>2.2700000000000001E-2</v>
      </c>
      <c r="J99" s="11">
        <v>2.3E-2</v>
      </c>
      <c r="K99" s="11">
        <v>2.35E-2</v>
      </c>
      <c r="L99" s="11">
        <v>1.9300000000000001E-2</v>
      </c>
      <c r="M99" s="11">
        <v>1.6E-2</v>
      </c>
      <c r="N99" s="11">
        <v>1.3899999999999999E-2</v>
      </c>
      <c r="O99" s="11">
        <v>1.18E-2</v>
      </c>
      <c r="P99" s="11">
        <v>1.04E-2</v>
      </c>
      <c r="Q99" s="11">
        <v>8.0999999999999996E-3</v>
      </c>
      <c r="R99" s="11">
        <v>6.7999999999999996E-3</v>
      </c>
      <c r="S99" s="11">
        <v>6.6E-3</v>
      </c>
      <c r="T99" s="11">
        <v>6.0000000000000001E-3</v>
      </c>
    </row>
  </sheetData>
  <mergeCells count="20">
    <mergeCell ref="A96:K96"/>
    <mergeCell ref="A97:B97"/>
    <mergeCell ref="A98:B98"/>
    <mergeCell ref="A99:B99"/>
    <mergeCell ref="A73:C73"/>
    <mergeCell ref="A74:C74"/>
    <mergeCell ref="A75:A76"/>
    <mergeCell ref="B75:C75"/>
    <mergeCell ref="B76:C76"/>
    <mergeCell ref="A90:K90"/>
    <mergeCell ref="A91:B91"/>
    <mergeCell ref="A92:B92"/>
    <mergeCell ref="A93:B93"/>
    <mergeCell ref="A72:C72"/>
    <mergeCell ref="A51:C51"/>
    <mergeCell ref="A52:C52"/>
    <mergeCell ref="A53:C53"/>
    <mergeCell ref="A54:A55"/>
    <mergeCell ref="B54:C54"/>
    <mergeCell ref="B55:C5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刘文涛</dc:creator>
  <cp:lastModifiedBy>文涛 刘</cp:lastModifiedBy>
  <dcterms:created xsi:type="dcterms:W3CDTF">2015-06-05T18:19:34Z</dcterms:created>
  <dcterms:modified xsi:type="dcterms:W3CDTF">2025-09-25T01:22:10Z</dcterms:modified>
</cp:coreProperties>
</file>